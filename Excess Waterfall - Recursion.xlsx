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\\redbud\home\itgentd\Documents\Capital Plan\"/>
    </mc:Choice>
  </mc:AlternateContent>
  <xr:revisionPtr revIDLastSave="0" documentId="13_ncr:1_{7DC020A2-8D73-46AA-BE03-2AA8C43FEFE2}" xr6:coauthVersionLast="43" xr6:coauthVersionMax="43" xr10:uidLastSave="{00000000-0000-0000-0000-000000000000}"/>
  <bookViews>
    <workbookView xWindow="-120" yWindow="-120" windowWidth="25440" windowHeight="15540" xr2:uid="{00000000-000D-0000-FFFF-FFFF00000000}"/>
  </bookViews>
  <sheets>
    <sheet name="Original Position" sheetId="1" r:id="rId1"/>
    <sheet name="Opt-In B" sheetId="2" r:id="rId2"/>
    <sheet name="Non-Opt" sheetId="4" r:id="rId3"/>
    <sheet name="Opt-In A.1" sheetId="12" r:id="rId4"/>
    <sheet name="Opt-In A.2" sheetId="13" r:id="rId5"/>
    <sheet name="AMA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" i="14" l="1"/>
  <c r="N2" i="14"/>
  <c r="G4" i="14"/>
  <c r="F4" i="14"/>
  <c r="G8" i="14"/>
  <c r="F8" i="14"/>
  <c r="G7" i="14"/>
  <c r="F7" i="14"/>
  <c r="G6" i="14"/>
  <c r="F6" i="14"/>
  <c r="G5" i="14"/>
  <c r="F5" i="14"/>
  <c r="G3" i="14"/>
  <c r="F3" i="14"/>
  <c r="G19" i="1"/>
  <c r="F19" i="1"/>
  <c r="G3" i="4"/>
  <c r="G4" i="4"/>
  <c r="G5" i="4"/>
  <c r="G6" i="4"/>
  <c r="G7" i="4"/>
  <c r="G8" i="4"/>
  <c r="F4" i="4"/>
  <c r="F5" i="4"/>
  <c r="F6" i="4"/>
  <c r="F7" i="4"/>
  <c r="F8" i="4"/>
  <c r="F3" i="4"/>
  <c r="N8" i="12"/>
  <c r="N9" i="12" s="1"/>
  <c r="N10" i="12" s="1"/>
  <c r="N11" i="12" s="1"/>
  <c r="G4" i="13"/>
  <c r="F4" i="13"/>
  <c r="G3" i="13"/>
  <c r="F3" i="13"/>
  <c r="N2" i="13"/>
  <c r="G8" i="13"/>
  <c r="F8" i="13"/>
  <c r="G7" i="13"/>
  <c r="F7" i="13"/>
  <c r="G5" i="13"/>
  <c r="F5" i="13"/>
  <c r="G6" i="13"/>
  <c r="F6" i="13"/>
  <c r="O2" i="13"/>
  <c r="G8" i="12"/>
  <c r="F8" i="12"/>
  <c r="G7" i="12"/>
  <c r="F7" i="12"/>
  <c r="G5" i="12"/>
  <c r="F5" i="12"/>
  <c r="G4" i="12"/>
  <c r="F4" i="12"/>
  <c r="G6" i="12"/>
  <c r="F6" i="12"/>
  <c r="G3" i="12"/>
  <c r="F3" i="12"/>
  <c r="O2" i="12"/>
  <c r="N2" i="12"/>
  <c r="O2" i="2"/>
  <c r="N2" i="2"/>
  <c r="O2" i="4"/>
  <c r="N2" i="4"/>
  <c r="G17" i="1"/>
  <c r="F17" i="1"/>
  <c r="H3" i="14"/>
  <c r="H7" i="13"/>
  <c r="H8" i="13" s="1"/>
  <c r="H3" i="12"/>
  <c r="H3" i="4"/>
  <c r="H3" i="2"/>
  <c r="H3" i="1"/>
  <c r="H4" i="1"/>
  <c r="H5" i="1"/>
  <c r="H6" i="1"/>
  <c r="H7" i="1"/>
  <c r="H4" i="2"/>
  <c r="H5" i="2"/>
  <c r="H6" i="2"/>
  <c r="H7" i="2"/>
  <c r="H8" i="2"/>
  <c r="H4" i="4"/>
  <c r="H5" i="4"/>
  <c r="H6" i="4"/>
  <c r="H7" i="4"/>
  <c r="H8" i="4"/>
  <c r="H4" i="12"/>
  <c r="H5" i="12"/>
  <c r="H6" i="12"/>
  <c r="H7" i="12"/>
  <c r="H8" i="12"/>
  <c r="H4" i="14"/>
  <c r="H5" i="14"/>
  <c r="H6" i="14"/>
  <c r="H7" i="14"/>
  <c r="H8" i="14"/>
  <c r="N3" i="14" l="1"/>
  <c r="I4" i="14"/>
  <c r="J4" i="14" s="1"/>
  <c r="I3" i="14"/>
  <c r="K3" i="14" s="1"/>
  <c r="I4" i="12"/>
  <c r="J4" i="12" s="1"/>
  <c r="I3" i="12"/>
  <c r="K3" i="12" s="1"/>
  <c r="I4" i="4"/>
  <c r="K4" i="4" s="1"/>
  <c r="I3" i="4"/>
  <c r="J3" i="4" s="1"/>
  <c r="I4" i="2"/>
  <c r="J4" i="2" s="1"/>
  <c r="I3" i="2"/>
  <c r="I4" i="1"/>
  <c r="J4" i="1" s="1"/>
  <c r="I3" i="1"/>
  <c r="K3" i="1" s="1"/>
  <c r="I5" i="14"/>
  <c r="I6" i="14"/>
  <c r="I7" i="14"/>
  <c r="I5" i="13"/>
  <c r="I6" i="13" s="1"/>
  <c r="I5" i="12"/>
  <c r="I6" i="12"/>
  <c r="I7" i="12"/>
  <c r="I5" i="4"/>
  <c r="I6" i="4"/>
  <c r="I7" i="4"/>
  <c r="I5" i="2"/>
  <c r="I6" i="2"/>
  <c r="I5" i="1"/>
  <c r="I6" i="1"/>
  <c r="I7" i="1"/>
  <c r="I7" i="2"/>
  <c r="I8" i="2"/>
  <c r="I8" i="4"/>
  <c r="I8" i="12"/>
  <c r="I8" i="14"/>
  <c r="O3" i="14" l="1"/>
  <c r="K4" i="1"/>
  <c r="K7" i="1"/>
  <c r="J7" i="1"/>
  <c r="J6" i="1"/>
  <c r="K6" i="1"/>
  <c r="J5" i="1"/>
  <c r="K5" i="1"/>
  <c r="K4" i="14"/>
  <c r="J3" i="1"/>
  <c r="J8" i="14"/>
  <c r="K8" i="14"/>
  <c r="K7" i="14"/>
  <c r="J7" i="14"/>
  <c r="J6" i="14"/>
  <c r="K6" i="14"/>
  <c r="J5" i="14"/>
  <c r="K5" i="14"/>
  <c r="J3" i="14"/>
  <c r="J6" i="13" l="1"/>
  <c r="K6" i="13"/>
  <c r="K5" i="13"/>
  <c r="J5" i="13"/>
  <c r="J3" i="12"/>
  <c r="K4" i="12"/>
  <c r="J8" i="12"/>
  <c r="K8" i="12"/>
  <c r="J7" i="12"/>
  <c r="K7" i="12"/>
  <c r="K6" i="12"/>
  <c r="J6" i="12"/>
  <c r="J5" i="12"/>
  <c r="K5" i="12"/>
  <c r="J4" i="4"/>
  <c r="K3" i="4"/>
  <c r="J8" i="4"/>
  <c r="K8" i="4"/>
  <c r="J7" i="4"/>
  <c r="K7" i="4"/>
  <c r="K6" i="4"/>
  <c r="J6" i="4"/>
  <c r="J5" i="4"/>
  <c r="K5" i="4"/>
  <c r="J3" i="2"/>
  <c r="J8" i="2"/>
  <c r="K8" i="2"/>
  <c r="J7" i="2"/>
  <c r="K7" i="2"/>
  <c r="J6" i="2"/>
  <c r="K6" i="2"/>
  <c r="J5" i="2"/>
  <c r="K5" i="2"/>
  <c r="K4" i="2"/>
  <c r="K3" i="2"/>
  <c r="K4" i="13"/>
  <c r="J4" i="13"/>
  <c r="J3" i="13"/>
  <c r="K3" i="13"/>
  <c r="N3" i="13" l="1"/>
  <c r="I7" i="13"/>
  <c r="I8" i="13"/>
  <c r="J8" i="13" l="1"/>
  <c r="K8" i="13"/>
  <c r="J7" i="13"/>
  <c r="K7" i="13"/>
  <c r="O3" i="13"/>
  <c r="G15" i="1" l="1"/>
  <c r="F15" i="1"/>
  <c r="G13" i="1"/>
  <c r="F13" i="1"/>
  <c r="O2" i="1"/>
  <c r="N2" i="1"/>
  <c r="F4" i="2"/>
  <c r="G4" i="2"/>
  <c r="G8" i="2"/>
  <c r="F8" i="2"/>
  <c r="G7" i="2"/>
  <c r="F7" i="2"/>
  <c r="G6" i="2"/>
  <c r="F6" i="2"/>
  <c r="G5" i="2"/>
  <c r="F5" i="2"/>
  <c r="G3" i="2"/>
  <c r="F3" i="2"/>
  <c r="N3" i="4" l="1"/>
  <c r="F4" i="1"/>
  <c r="G4" i="1"/>
  <c r="F5" i="1"/>
  <c r="G5" i="1"/>
  <c r="F6" i="1"/>
  <c r="G6" i="1"/>
  <c r="F7" i="1"/>
  <c r="G7" i="1"/>
  <c r="G3" i="1"/>
  <c r="F3" i="1"/>
  <c r="N3" i="2" l="1"/>
  <c r="N3" i="1"/>
  <c r="O3" i="2" l="1"/>
  <c r="O3" i="4"/>
  <c r="O3" i="1" l="1"/>
  <c r="O3" i="12"/>
  <c r="N3" i="12"/>
</calcChain>
</file>

<file path=xl/sharedStrings.xml><?xml version="1.0" encoding="utf-8"?>
<sst xmlns="http://schemas.openxmlformats.org/spreadsheetml/2006/main" count="161" uniqueCount="25">
  <si>
    <t>Type</t>
  </si>
  <si>
    <t>Amount</t>
  </si>
  <si>
    <t>B %</t>
  </si>
  <si>
    <t>A %</t>
  </si>
  <si>
    <t>B Req</t>
  </si>
  <si>
    <t>A Req</t>
  </si>
  <si>
    <t>B utilized</t>
  </si>
  <si>
    <t>A utilized</t>
  </si>
  <si>
    <t>Stock</t>
  </si>
  <si>
    <t>B</t>
  </si>
  <si>
    <t>A</t>
  </si>
  <si>
    <t>Advance</t>
  </si>
  <si>
    <t>Original</t>
  </si>
  <si>
    <t>Purchase</t>
  </si>
  <si>
    <t>Excess</t>
  </si>
  <si>
    <t>ID</t>
  </si>
  <si>
    <t>New Advance</t>
  </si>
  <si>
    <t>Non-Opt</t>
  </si>
  <si>
    <t>Overage(B)</t>
  </si>
  <si>
    <t>Overage(A)</t>
  </si>
  <si>
    <t>PURCHASE</t>
  </si>
  <si>
    <t>Opt-In</t>
  </si>
  <si>
    <t>Iteration</t>
  </si>
  <si>
    <t>AMA</t>
  </si>
  <si>
    <t>&lt;Change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</si>
</sst>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6" tint="0.7999816888943144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4" borderId="0" xfId="0" applyFill="1"/>
    <xf numFmtId="43" fontId="0" fillId="0" borderId="0" xfId="1" applyFont="1"/>
    <xf numFmtId="43" fontId="0" fillId="3" borderId="0" xfId="1" applyFont="1" applyFill="1"/>
    <xf numFmtId="43" fontId="0" fillId="2" borderId="0" xfId="1" applyFont="1" applyFill="1"/>
    <xf numFmtId="165" fontId="0" fillId="0" borderId="0" xfId="1" applyNumberFormat="1" applyFont="1"/>
    <xf numFmtId="165" fontId="0" fillId="3" borderId="0" xfId="1" applyNumberFormat="1" applyFont="1" applyFill="1"/>
    <xf numFmtId="165" fontId="0" fillId="2" borderId="0" xfId="1" applyNumberFormat="1" applyFont="1" applyFill="1"/>
    <xf numFmtId="165" fontId="0" fillId="4" borderId="0" xfId="1" applyNumberFormat="1" applyFont="1" applyFill="1"/>
    <xf numFmtId="165" fontId="2" fillId="0" borderId="0" xfId="1" applyNumberFormat="1" applyFont="1" applyFill="1"/>
    <xf numFmtId="165" fontId="4" fillId="0" borderId="0" xfId="1" applyNumberFormat="1" applyFont="1"/>
    <xf numFmtId="0" fontId="0" fillId="5" borderId="0" xfId="0" applyFill="1"/>
    <xf numFmtId="165" fontId="0" fillId="5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N18" sqref="N18"/>
    </sheetView>
  </sheetViews>
  <sheetFormatPr defaultRowHeight="15" x14ac:dyDescent="0.25"/>
  <cols>
    <col min="1" max="1" width="13.28515625" bestFit="1" customWidth="1"/>
    <col min="2" max="2" width="2.85546875" bestFit="1" customWidth="1"/>
    <col min="3" max="3" width="10.5703125" style="7" bestFit="1" customWidth="1"/>
    <col min="4" max="4" width="8.7109375" bestFit="1" customWidth="1"/>
    <col min="5" max="5" width="6.7109375" bestFit="1" customWidth="1"/>
    <col min="6" max="7" width="9" style="7" bestFit="1" customWidth="1"/>
    <col min="8" max="8" width="10.7109375" style="7" bestFit="1" customWidth="1"/>
    <col min="9" max="9" width="10.85546875" style="7" bestFit="1" customWidth="1"/>
    <col min="10" max="10" width="12.42578125" style="7" bestFit="1" customWidth="1"/>
    <col min="11" max="11" width="12.5703125" style="7" bestFit="1" customWidth="1"/>
    <col min="13" max="13" width="9" bestFit="1" customWidth="1"/>
    <col min="14" max="15" width="9" style="7" bestFit="1" customWidth="1"/>
  </cols>
  <sheetData>
    <row r="1" spans="1:15" x14ac:dyDescent="0.25">
      <c r="J1" s="2" t="s">
        <v>20</v>
      </c>
      <c r="K1" s="2"/>
      <c r="N1" s="7" t="s">
        <v>9</v>
      </c>
      <c r="O1" s="7" t="s">
        <v>10</v>
      </c>
    </row>
    <row r="2" spans="1:15" x14ac:dyDescent="0.25">
      <c r="A2" t="s">
        <v>0</v>
      </c>
      <c r="B2" t="s">
        <v>15</v>
      </c>
      <c r="C2" s="7" t="s">
        <v>1</v>
      </c>
      <c r="D2" t="s">
        <v>2</v>
      </c>
      <c r="E2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18</v>
      </c>
      <c r="K2" s="7" t="s">
        <v>19</v>
      </c>
      <c r="M2" t="s">
        <v>8</v>
      </c>
      <c r="N2" s="7">
        <f>N5+N6</f>
        <v>250000</v>
      </c>
      <c r="O2" s="7">
        <f>O5+O6</f>
        <v>250000</v>
      </c>
    </row>
    <row r="3" spans="1:15" x14ac:dyDescent="0.25">
      <c r="A3" t="s">
        <v>11</v>
      </c>
      <c r="B3">
        <v>1</v>
      </c>
      <c r="C3" s="7">
        <v>5000000</v>
      </c>
      <c r="D3">
        <v>0.02</v>
      </c>
      <c r="E3">
        <v>0.02</v>
      </c>
      <c r="F3" s="7">
        <f>C3*D3</f>
        <v>100000</v>
      </c>
      <c r="G3" s="7">
        <f>C3*E3</f>
        <v>100000</v>
      </c>
      <c r="H3" s="7">
        <f ca="1">ROUND(IF(F3&lt;($N$2-SUM(INDIRECT(ADDRESS(1,COLUMN())&amp;":"&amp;ADDRESS(ROW()-1,COLUMN())))),F3, ($N$2-SUM(INDIRECT(ADDRESS(1,COLUMN())&amp;":"&amp;ADDRESS(ROW()-1,COLUMN()))))),4)</f>
        <v>100000</v>
      </c>
      <c r="I3" s="7">
        <f ca="1">ROUND(IF(H3&lt;&gt;F3,IF((C3-(H3/D3))*E3&lt;($O$2-SUM(INDIRECT(ADDRESS(1,COLUMN())&amp;":"&amp;ADDRESS(ROW()-1,COLUMN())))),(C3-(H3/D3))*E3,($O$2-SUM(INDIRECT(ADDRESS(1,COLUMN())&amp;":"&amp;ADDRESS(ROW()-1,COLUMN()))))),0),4)</f>
        <v>0</v>
      </c>
      <c r="J3" s="7">
        <f t="shared" ref="J3" ca="1" si="0">ROUNDUP(IF((H3/D3)+(I3/E3)&gt;=C3,0,(C3-(H3/D3)-(I3/E3))*D3),-2)</f>
        <v>0</v>
      </c>
      <c r="K3" s="7">
        <f t="shared" ref="K3" ca="1" si="1">ROUNDUP(IF((H3/D3)+(I3/E3)&gt;=C3,0,(C3-(H3/D3)-(I3/E3))*E3),-2)</f>
        <v>0</v>
      </c>
      <c r="M3" t="s">
        <v>14</v>
      </c>
      <c r="N3" s="7">
        <f ca="1">N2-SUM(H:H)</f>
        <v>0</v>
      </c>
      <c r="O3" s="7">
        <f ca="1">O2-SUM(I:I)</f>
        <v>1.0000000474974513E-4</v>
      </c>
    </row>
    <row r="4" spans="1:15" x14ac:dyDescent="0.25">
      <c r="A4" t="s">
        <v>11</v>
      </c>
      <c r="B4">
        <v>2</v>
      </c>
      <c r="C4" s="7">
        <v>2222222.2200000002</v>
      </c>
      <c r="D4">
        <v>4.4999999999999998E-2</v>
      </c>
      <c r="E4">
        <v>0.02</v>
      </c>
      <c r="F4" s="7">
        <f t="shared" ref="F4:F7" si="2">C4*D4</f>
        <v>99999.99990000001</v>
      </c>
      <c r="G4" s="7">
        <f t="shared" ref="G4:G7" si="3">C4*E4</f>
        <v>44444.444400000008</v>
      </c>
      <c r="H4" s="7">
        <f t="shared" ref="H4:H8" ca="1" si="4">ROUND(IF(F4&lt;($N$2-SUM(INDIRECT(ADDRESS(1,COLUMN())&amp;":"&amp;ADDRESS(ROW()-1,COLUMN())))),F4, ($N$2-SUM(INDIRECT(ADDRESS(1,COLUMN())&amp;":"&amp;ADDRESS(ROW()-1,COLUMN()))))),4)</f>
        <v>99999.999899999995</v>
      </c>
      <c r="I4" s="7">
        <f t="shared" ref="I4:I8" ca="1" si="5">ROUND(IF(H4&lt;&gt;F4,IF((C4-(H4/D4))*E4&lt;($O$2-SUM(INDIRECT(ADDRESS(1,COLUMN())&amp;":"&amp;ADDRESS(ROW()-1,COLUMN())))),(C4-(H4/D4))*E4,($O$2-SUM(INDIRECT(ADDRESS(1,COLUMN())&amp;":"&amp;ADDRESS(ROW()-1,COLUMN()))))),0),4)</f>
        <v>0</v>
      </c>
      <c r="J4" s="7">
        <f t="shared" ref="J4:J7" ca="1" si="6">ROUNDUP(IF((H4/D4)+(I4/E4)&gt;=C4,0,(C4-(H4/D4)-(I4/E4))*D4),-2)</f>
        <v>0</v>
      </c>
      <c r="K4" s="7">
        <f t="shared" ref="K4:K7" ca="1" si="7">ROUNDUP(IF((H4/D4)+(I4/E4)&gt;=C4,0,(C4-(H4/D4)-(I4/E4))*E4),-2)</f>
        <v>0</v>
      </c>
    </row>
    <row r="5" spans="1:15" x14ac:dyDescent="0.25">
      <c r="A5" t="s">
        <v>11</v>
      </c>
      <c r="B5">
        <v>3</v>
      </c>
      <c r="C5" s="7">
        <v>3611111.11</v>
      </c>
      <c r="D5">
        <v>4.4999999999999998E-2</v>
      </c>
      <c r="E5">
        <v>0.02</v>
      </c>
      <c r="F5" s="7">
        <f t="shared" si="2"/>
        <v>162499.99995</v>
      </c>
      <c r="G5" s="7">
        <f t="shared" si="3"/>
        <v>72222.222200000004</v>
      </c>
      <c r="H5" s="7">
        <f t="shared" ca="1" si="4"/>
        <v>50000.000099999997</v>
      </c>
      <c r="I5" s="7">
        <f t="shared" ca="1" si="5"/>
        <v>49999.999900000003</v>
      </c>
      <c r="J5" s="12">
        <f t="shared" ca="1" si="6"/>
        <v>100</v>
      </c>
      <c r="K5" s="12">
        <f t="shared" ca="1" si="7"/>
        <v>100</v>
      </c>
      <c r="M5" t="s">
        <v>12</v>
      </c>
      <c r="N5" s="7">
        <v>250000</v>
      </c>
      <c r="O5" s="7">
        <v>250000</v>
      </c>
    </row>
    <row r="6" spans="1:15" x14ac:dyDescent="0.25">
      <c r="A6" t="s">
        <v>11</v>
      </c>
      <c r="B6">
        <v>4</v>
      </c>
      <c r="C6" s="7">
        <v>5000000</v>
      </c>
      <c r="D6">
        <v>4.4999999999999998E-2</v>
      </c>
      <c r="E6">
        <v>0.02</v>
      </c>
      <c r="F6" s="7">
        <f t="shared" si="2"/>
        <v>225000</v>
      </c>
      <c r="G6" s="7">
        <f t="shared" si="3"/>
        <v>100000</v>
      </c>
      <c r="H6" s="7">
        <f t="shared" ca="1" si="4"/>
        <v>0</v>
      </c>
      <c r="I6" s="7">
        <f t="shared" ca="1" si="5"/>
        <v>100000</v>
      </c>
      <c r="J6" s="7">
        <f t="shared" ca="1" si="6"/>
        <v>0</v>
      </c>
      <c r="K6" s="7">
        <f t="shared" ca="1" si="7"/>
        <v>0</v>
      </c>
      <c r="M6" t="s">
        <v>13</v>
      </c>
    </row>
    <row r="7" spans="1:15" x14ac:dyDescent="0.25">
      <c r="A7" t="s">
        <v>11</v>
      </c>
      <c r="B7">
        <v>5</v>
      </c>
      <c r="C7" s="7">
        <v>5000000</v>
      </c>
      <c r="D7">
        <v>4.4999999999999998E-2</v>
      </c>
      <c r="E7">
        <v>0.02</v>
      </c>
      <c r="F7" s="7">
        <f t="shared" si="2"/>
        <v>225000</v>
      </c>
      <c r="G7" s="7">
        <f t="shared" si="3"/>
        <v>100000</v>
      </c>
      <c r="H7" s="7">
        <f t="shared" ca="1" si="4"/>
        <v>0</v>
      </c>
      <c r="I7" s="7">
        <f t="shared" ca="1" si="5"/>
        <v>100000</v>
      </c>
      <c r="J7" s="7">
        <f t="shared" ca="1" si="6"/>
        <v>0</v>
      </c>
      <c r="K7" s="7">
        <f t="shared" ca="1" si="7"/>
        <v>0</v>
      </c>
    </row>
    <row r="8" spans="1:15" x14ac:dyDescent="0.25">
      <c r="J8" s="11"/>
      <c r="K8" s="11"/>
    </row>
    <row r="12" spans="1:15" x14ac:dyDescent="0.25">
      <c r="A12" t="s">
        <v>16</v>
      </c>
      <c r="D12" t="s">
        <v>21</v>
      </c>
    </row>
    <row r="13" spans="1:15" x14ac:dyDescent="0.25">
      <c r="A13" s="1" t="s">
        <v>11</v>
      </c>
      <c r="B13" s="1">
        <v>6</v>
      </c>
      <c r="C13" s="9">
        <v>5000000</v>
      </c>
      <c r="D13" s="1">
        <v>0.02</v>
      </c>
      <c r="E13" s="1">
        <v>0.02</v>
      </c>
      <c r="F13" s="9">
        <f>C13*D13</f>
        <v>100000</v>
      </c>
      <c r="G13" s="9">
        <f>C13*E13</f>
        <v>100000</v>
      </c>
    </row>
    <row r="14" spans="1:15" x14ac:dyDescent="0.25">
      <c r="D14" t="s">
        <v>17</v>
      </c>
    </row>
    <row r="15" spans="1:15" x14ac:dyDescent="0.25">
      <c r="A15" s="1" t="s">
        <v>11</v>
      </c>
      <c r="B15" s="1">
        <v>6</v>
      </c>
      <c r="C15" s="9">
        <v>5000000</v>
      </c>
      <c r="D15" s="1">
        <v>4.4999999999999998E-2</v>
      </c>
      <c r="E15" s="1">
        <v>0.02</v>
      </c>
      <c r="F15" s="9">
        <f>C15*D15</f>
        <v>225000</v>
      </c>
      <c r="G15" s="9">
        <f>C15*E15</f>
        <v>100000</v>
      </c>
    </row>
    <row r="16" spans="1:15" x14ac:dyDescent="0.25">
      <c r="E16" t="s">
        <v>21</v>
      </c>
    </row>
    <row r="17" spans="1:7" x14ac:dyDescent="0.25">
      <c r="A17" s="1" t="s">
        <v>11</v>
      </c>
      <c r="B17" s="1">
        <v>6</v>
      </c>
      <c r="C17" s="9">
        <v>5000000</v>
      </c>
      <c r="D17" s="1">
        <v>4.4999999999999998E-2</v>
      </c>
      <c r="E17" s="1">
        <v>1.4999999999999999E-2</v>
      </c>
      <c r="F17" s="9">
        <f>C17*D17</f>
        <v>225000</v>
      </c>
      <c r="G17" s="9">
        <f>C17*E17</f>
        <v>75000</v>
      </c>
    </row>
    <row r="19" spans="1:7" x14ac:dyDescent="0.25">
      <c r="A19" s="13" t="s">
        <v>23</v>
      </c>
      <c r="B19" s="13">
        <v>6</v>
      </c>
      <c r="C19" s="14">
        <v>5000000</v>
      </c>
      <c r="D19" s="13">
        <v>0.03</v>
      </c>
      <c r="E19" s="13">
        <v>0.03</v>
      </c>
      <c r="F19" s="14">
        <f>C19*D19</f>
        <v>150000</v>
      </c>
      <c r="G19" s="14">
        <f>C19*E19</f>
        <v>150000</v>
      </c>
    </row>
  </sheetData>
  <mergeCells count="1"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workbookViewId="0"/>
  </sheetViews>
  <sheetFormatPr defaultColWidth="13.5703125" defaultRowHeight="15" x14ac:dyDescent="0.25"/>
  <cols>
    <col min="1" max="1" width="8.5703125" bestFit="1" customWidth="1"/>
    <col min="2" max="2" width="2.85546875" bestFit="1" customWidth="1"/>
    <col min="3" max="3" width="10.5703125" style="7" bestFit="1" customWidth="1"/>
    <col min="4" max="4" width="6" bestFit="1" customWidth="1"/>
    <col min="5" max="5" width="5" bestFit="1" customWidth="1"/>
    <col min="6" max="7" width="9" style="7" bestFit="1" customWidth="1"/>
    <col min="8" max="8" width="10.7109375" style="7" bestFit="1" customWidth="1"/>
    <col min="9" max="9" width="10.85546875" style="7" bestFit="1" customWidth="1"/>
    <col min="10" max="10" width="12.42578125" style="7" bestFit="1" customWidth="1"/>
    <col min="11" max="11" width="12.5703125" style="7" bestFit="1" customWidth="1"/>
    <col min="13" max="13" width="9" bestFit="1" customWidth="1"/>
    <col min="14" max="15" width="9" style="7" bestFit="1" customWidth="1"/>
    <col min="16" max="16" width="8.7109375" bestFit="1" customWidth="1"/>
  </cols>
  <sheetData>
    <row r="1" spans="1:17" x14ac:dyDescent="0.25">
      <c r="J1" s="2" t="s">
        <v>20</v>
      </c>
      <c r="K1" s="2"/>
      <c r="N1" s="7" t="s">
        <v>9</v>
      </c>
      <c r="O1" s="7" t="s">
        <v>10</v>
      </c>
      <c r="P1" t="s">
        <v>22</v>
      </c>
    </row>
    <row r="2" spans="1:17" x14ac:dyDescent="0.25">
      <c r="A2" t="s">
        <v>0</v>
      </c>
      <c r="B2" t="s">
        <v>15</v>
      </c>
      <c r="C2" s="7" t="s">
        <v>1</v>
      </c>
      <c r="D2" t="s">
        <v>2</v>
      </c>
      <c r="E2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18</v>
      </c>
      <c r="K2" s="7" t="s">
        <v>19</v>
      </c>
      <c r="M2" t="s">
        <v>8</v>
      </c>
      <c r="N2" s="7">
        <f>N$5+SUMIF($P6:$P15,$P2,N6:N15)</f>
        <v>250000</v>
      </c>
      <c r="O2" s="7">
        <f>O$5+SUMIF($P6:$P15,$P2,O6:O15)</f>
        <v>250000</v>
      </c>
      <c r="P2">
        <v>1</v>
      </c>
      <c r="Q2" t="s">
        <v>24</v>
      </c>
    </row>
    <row r="3" spans="1:17" x14ac:dyDescent="0.25">
      <c r="A3" t="s">
        <v>11</v>
      </c>
      <c r="B3">
        <v>1</v>
      </c>
      <c r="C3" s="7">
        <v>5000000</v>
      </c>
      <c r="D3">
        <v>0.02</v>
      </c>
      <c r="E3">
        <v>0.02</v>
      </c>
      <c r="F3" s="7">
        <f>C3*D3</f>
        <v>100000</v>
      </c>
      <c r="G3" s="7">
        <f>C3*E3</f>
        <v>100000</v>
      </c>
      <c r="H3" s="7">
        <f ca="1">(IF(F3&lt;($N$2-SUM(INDIRECT(ADDRESS(1,COLUMN())&amp;":"&amp;ADDRESS(ROW()-1,COLUMN())))),F3,($N$2-SUM(INDIRECT(ADDRESS(1,COLUMN())&amp;":"&amp;ADDRESS(ROW()-1,COLUMN()))))))</f>
        <v>100000</v>
      </c>
      <c r="I3" s="7">
        <f ca="1">IF(H3&lt;&gt;F3,IF((C3-(H3/D3))*E3&lt;($O$2-SUM(INDIRECT(ADDRESS(1,COLUMN())&amp;":"&amp;ADDRESS(ROW()-1,COLUMN())))),(C3-(H3/D3))*E3,($O$2-SUM(INDIRECT(ADDRESS(1,COLUMN())&amp;":"&amp;ADDRESS(ROW()-1,COLUMN()))))),0)</f>
        <v>0</v>
      </c>
      <c r="J3" s="7">
        <f ca="1">ROUNDUP(IF((H3/D3)+(I3/E3)&gt;=C3,0,(C3-(H3/D3)-(I3/E3))*D3),-2)</f>
        <v>0</v>
      </c>
      <c r="K3" s="7">
        <f ca="1">ROUNDUP(IF((H3/D3)+(I3/E3)&gt;=C3,0,(C3-(H3/D3)-(I3/E3))*E3),-2)</f>
        <v>0</v>
      </c>
      <c r="M3" t="s">
        <v>14</v>
      </c>
      <c r="N3" s="7">
        <f ca="1">N2-SUM(H:H)</f>
        <v>0</v>
      </c>
      <c r="O3" s="7">
        <f ca="1">O2-SUM(I:I)</f>
        <v>0</v>
      </c>
    </row>
    <row r="4" spans="1:17" x14ac:dyDescent="0.25">
      <c r="A4" s="1" t="s">
        <v>11</v>
      </c>
      <c r="B4" s="1">
        <v>6</v>
      </c>
      <c r="C4" s="9">
        <v>5000000</v>
      </c>
      <c r="D4" s="1">
        <v>0.02</v>
      </c>
      <c r="E4" s="1">
        <v>0.02</v>
      </c>
      <c r="F4" s="9">
        <f>C4*D4</f>
        <v>100000</v>
      </c>
      <c r="G4" s="9">
        <f>C4*E4</f>
        <v>100000</v>
      </c>
      <c r="H4" s="7">
        <f t="shared" ref="H4:H8" ca="1" si="0">(IF(F4&lt;($N$2-SUM(INDIRECT(ADDRESS(1,COLUMN())&amp;":"&amp;ADDRESS(ROW()-1,COLUMN())))),F4,($N$2-SUM(INDIRECT(ADDRESS(1,COLUMN())&amp;":"&amp;ADDRESS(ROW()-1,COLUMN()))))))</f>
        <v>100000</v>
      </c>
      <c r="I4" s="7">
        <f t="shared" ref="I4:I8" ca="1" si="1">IF(H4&lt;&gt;F4,IF((C4-(H4/D4))*E4&lt;($O$2-SUM(INDIRECT(ADDRESS(1,COLUMN())&amp;":"&amp;ADDRESS(ROW()-1,COLUMN())))),(C4-(H4/D4))*E4,($O$2-SUM(INDIRECT(ADDRESS(1,COLUMN())&amp;":"&amp;ADDRESS(ROW()-1,COLUMN()))))),0)</f>
        <v>0</v>
      </c>
      <c r="J4" s="7">
        <f t="shared" ref="J4:J8" ca="1" si="2">ROUNDUP(IF((H4/D4)+(I4/E4)&gt;=C4,0,(C4-(H4/D4)-(I4/E4))*D4),-2)</f>
        <v>0</v>
      </c>
      <c r="K4" s="7">
        <f t="shared" ref="K4:K8" ca="1" si="3">ROUNDUP(IF((H4/D4)+(I4/E4)&gt;=C4,0,(C4-(H4/D4)-(I4/E4))*E4),-2)</f>
        <v>0</v>
      </c>
    </row>
    <row r="5" spans="1:17" x14ac:dyDescent="0.25">
      <c r="A5" t="s">
        <v>11</v>
      </c>
      <c r="B5">
        <v>2</v>
      </c>
      <c r="C5" s="7">
        <v>2222222.2200000002</v>
      </c>
      <c r="D5">
        <v>4.4999999999999998E-2</v>
      </c>
      <c r="E5">
        <v>0.02</v>
      </c>
      <c r="F5" s="7">
        <f t="shared" ref="F5:F8" si="4">C5*D5</f>
        <v>99999.99990000001</v>
      </c>
      <c r="G5" s="7">
        <f t="shared" ref="G5:G8" si="5">C5*E5</f>
        <v>44444.444400000008</v>
      </c>
      <c r="H5" s="7">
        <f t="shared" ca="1" si="0"/>
        <v>50000</v>
      </c>
      <c r="I5" s="7">
        <f t="shared" ca="1" si="1"/>
        <v>22222.222177777781</v>
      </c>
      <c r="J5" s="7">
        <f t="shared" ca="1" si="2"/>
        <v>0</v>
      </c>
      <c r="K5" s="7">
        <f t="shared" ca="1" si="3"/>
        <v>0</v>
      </c>
      <c r="M5" t="s">
        <v>12</v>
      </c>
      <c r="N5" s="7">
        <v>250000</v>
      </c>
      <c r="O5" s="7">
        <v>250000</v>
      </c>
    </row>
    <row r="6" spans="1:17" x14ac:dyDescent="0.25">
      <c r="A6" t="s">
        <v>11</v>
      </c>
      <c r="B6">
        <v>3</v>
      </c>
      <c r="C6" s="7">
        <v>3611111.11</v>
      </c>
      <c r="D6">
        <v>4.4999999999999998E-2</v>
      </c>
      <c r="E6">
        <v>0.02</v>
      </c>
      <c r="F6" s="7">
        <f t="shared" si="4"/>
        <v>162499.99995</v>
      </c>
      <c r="G6" s="7">
        <f t="shared" si="5"/>
        <v>72222.222200000004</v>
      </c>
      <c r="H6" s="7">
        <f t="shared" ca="1" si="0"/>
        <v>0</v>
      </c>
      <c r="I6" s="7">
        <f t="shared" ca="1" si="1"/>
        <v>72222.222200000004</v>
      </c>
      <c r="J6" s="7">
        <f t="shared" ca="1" si="2"/>
        <v>0</v>
      </c>
      <c r="K6" s="7">
        <f t="shared" ca="1" si="3"/>
        <v>0</v>
      </c>
      <c r="M6" t="s">
        <v>13</v>
      </c>
      <c r="N6" s="7">
        <v>0</v>
      </c>
      <c r="O6" s="7">
        <v>0</v>
      </c>
      <c r="P6">
        <v>1</v>
      </c>
    </row>
    <row r="7" spans="1:17" x14ac:dyDescent="0.25">
      <c r="A7" t="s">
        <v>11</v>
      </c>
      <c r="B7">
        <v>4</v>
      </c>
      <c r="C7" s="7">
        <v>5000000</v>
      </c>
      <c r="D7">
        <v>4.4999999999999998E-2</v>
      </c>
      <c r="E7">
        <v>0.02</v>
      </c>
      <c r="F7" s="7">
        <f t="shared" si="4"/>
        <v>225000</v>
      </c>
      <c r="G7" s="7">
        <f t="shared" si="5"/>
        <v>100000</v>
      </c>
      <c r="H7" s="7">
        <f t="shared" ca="1" si="0"/>
        <v>0</v>
      </c>
      <c r="I7" s="7">
        <f t="shared" ca="1" si="1"/>
        <v>100000</v>
      </c>
      <c r="J7" s="7">
        <f t="shared" ca="1" si="2"/>
        <v>0</v>
      </c>
      <c r="K7" s="7">
        <f t="shared" ca="1" si="3"/>
        <v>0</v>
      </c>
      <c r="N7" s="7">
        <v>100000</v>
      </c>
      <c r="O7" s="7">
        <v>0</v>
      </c>
      <c r="P7">
        <v>2</v>
      </c>
    </row>
    <row r="8" spans="1:17" x14ac:dyDescent="0.25">
      <c r="A8" t="s">
        <v>11</v>
      </c>
      <c r="B8">
        <v>5</v>
      </c>
      <c r="C8" s="7">
        <v>5000000</v>
      </c>
      <c r="D8">
        <v>4.4999999999999998E-2</v>
      </c>
      <c r="E8">
        <v>0.02</v>
      </c>
      <c r="F8" s="7">
        <f t="shared" si="4"/>
        <v>225000</v>
      </c>
      <c r="G8" s="7">
        <f t="shared" si="5"/>
        <v>100000</v>
      </c>
      <c r="H8" s="7">
        <f t="shared" ca="1" si="0"/>
        <v>0</v>
      </c>
      <c r="I8" s="7">
        <f t="shared" ca="1" si="1"/>
        <v>55555.555622222222</v>
      </c>
      <c r="J8" s="8">
        <f t="shared" ca="1" si="2"/>
        <v>100000</v>
      </c>
      <c r="K8" s="8">
        <f t="shared" ca="1" si="3"/>
        <v>44500</v>
      </c>
      <c r="O8" s="7">
        <v>44500</v>
      </c>
      <c r="P8">
        <v>3</v>
      </c>
    </row>
  </sheetData>
  <mergeCells count="1">
    <mergeCell ref="J1:K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"/>
  <sheetViews>
    <sheetView workbookViewId="0"/>
  </sheetViews>
  <sheetFormatPr defaultRowHeight="15" x14ac:dyDescent="0.25"/>
  <cols>
    <col min="1" max="1" width="8.5703125" bestFit="1" customWidth="1"/>
    <col min="2" max="2" width="2.85546875" bestFit="1" customWidth="1"/>
    <col min="3" max="3" width="13.28515625" style="4" bestFit="1" customWidth="1"/>
    <col min="4" max="4" width="6" bestFit="1" customWidth="1"/>
    <col min="5" max="5" width="5" bestFit="1" customWidth="1"/>
    <col min="6" max="9" width="11.5703125" style="4" bestFit="1" customWidth="1"/>
    <col min="10" max="10" width="12.42578125" style="4" bestFit="1" customWidth="1"/>
    <col min="11" max="11" width="12.5703125" style="4" bestFit="1" customWidth="1"/>
    <col min="13" max="13" width="9" bestFit="1" customWidth="1"/>
    <col min="14" max="15" width="11.5703125" style="4" bestFit="1" customWidth="1"/>
    <col min="16" max="16" width="8.7109375" bestFit="1" customWidth="1"/>
  </cols>
  <sheetData>
    <row r="1" spans="1:17" x14ac:dyDescent="0.25">
      <c r="J1" s="2" t="s">
        <v>20</v>
      </c>
      <c r="K1" s="2"/>
      <c r="N1" s="4" t="s">
        <v>9</v>
      </c>
      <c r="O1" s="4" t="s">
        <v>10</v>
      </c>
      <c r="P1" t="s">
        <v>22</v>
      </c>
    </row>
    <row r="2" spans="1:17" x14ac:dyDescent="0.25">
      <c r="A2" t="s">
        <v>0</v>
      </c>
      <c r="B2" t="s">
        <v>15</v>
      </c>
      <c r="C2" s="4" t="s">
        <v>1</v>
      </c>
      <c r="D2" t="s">
        <v>2</v>
      </c>
      <c r="E2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18</v>
      </c>
      <c r="K2" s="4" t="s">
        <v>19</v>
      </c>
      <c r="M2" t="s">
        <v>8</v>
      </c>
      <c r="N2" s="4">
        <f>N$5+SUMIF($P6:$P15,$P2,N6:N15)</f>
        <v>250000</v>
      </c>
      <c r="O2" s="4">
        <f>O$5+SUMIF($P6:$P15,$P2,O6:O15)</f>
        <v>250000</v>
      </c>
      <c r="P2">
        <v>1</v>
      </c>
      <c r="Q2" t="s">
        <v>24</v>
      </c>
    </row>
    <row r="3" spans="1:17" x14ac:dyDescent="0.25">
      <c r="A3" t="s">
        <v>11</v>
      </c>
      <c r="B3">
        <v>1</v>
      </c>
      <c r="C3" s="4">
        <v>5000000</v>
      </c>
      <c r="D3">
        <v>0.02</v>
      </c>
      <c r="E3">
        <v>0.02</v>
      </c>
      <c r="F3" s="4">
        <f>ROUNDUP(C3*D3,-2)</f>
        <v>100000</v>
      </c>
      <c r="G3" s="4">
        <f>C3*E3</f>
        <v>100000</v>
      </c>
      <c r="H3" s="4">
        <f ca="1">(IF(F3&lt;($N$2-SUM(INDIRECT(ADDRESS(1,COLUMN())&amp;":"&amp;ADDRESS(ROW()-1,COLUMN())))),F3,($N$2-SUM(INDIRECT(ADDRESS(1,COLUMN())&amp;":"&amp;ADDRESS(ROW()-1,COLUMN()))))))</f>
        <v>100000</v>
      </c>
      <c r="I3" s="4">
        <f ca="1">IF(H3&lt;&gt;F3,IF((C3-(H3/D3))*E3&lt;($O$2-SUM(INDIRECT(ADDRESS(1,COLUMN())&amp;":"&amp;ADDRESS(ROW()-1,COLUMN())))),(C3-(H3/D3))*E3,($O$2-SUM(INDIRECT(ADDRESS(1,COLUMN())&amp;":"&amp;ADDRESS(ROW()-1,COLUMN()))))),0)</f>
        <v>0</v>
      </c>
      <c r="J3" s="4">
        <f ca="1">ROUNDUP(IF((H3/D3)+(I3/E3)&gt;=C3,0,(C3-(H3/D3)-(I3/E3))*D3),-2)</f>
        <v>0</v>
      </c>
      <c r="K3" s="4">
        <f ca="1">ROUNDUP(IF((H3/D3)+(I3/E3)&gt;=C3,0,(C3-(H3/D3)-(I3/E3))*E3),-2)</f>
        <v>0</v>
      </c>
      <c r="M3" t="s">
        <v>14</v>
      </c>
      <c r="N3" s="4">
        <f ca="1">N2-SUM(H:H)</f>
        <v>0</v>
      </c>
      <c r="O3" s="4">
        <f ca="1">O2-SUM(I:I)</f>
        <v>0</v>
      </c>
    </row>
    <row r="4" spans="1:17" x14ac:dyDescent="0.25">
      <c r="A4" t="s">
        <v>11</v>
      </c>
      <c r="B4">
        <v>2</v>
      </c>
      <c r="C4" s="4">
        <v>2222222.2200000002</v>
      </c>
      <c r="D4">
        <v>4.4999999999999998E-2</v>
      </c>
      <c r="E4">
        <v>0.02</v>
      </c>
      <c r="F4" s="4">
        <f t="shared" ref="F4:F8" si="0">ROUNDUP(C4*D4,-2)</f>
        <v>100000</v>
      </c>
      <c r="G4" s="4">
        <f>C4*E4</f>
        <v>44444.444400000008</v>
      </c>
      <c r="H4" s="4">
        <f t="shared" ref="H4:H8" ca="1" si="1">(IF(F4&lt;($N$2-SUM(INDIRECT(ADDRESS(1,COLUMN())&amp;":"&amp;ADDRESS(ROW()-1,COLUMN())))),F4,($N$2-SUM(INDIRECT(ADDRESS(1,COLUMN())&amp;":"&amp;ADDRESS(ROW()-1,COLUMN()))))))</f>
        <v>100000</v>
      </c>
      <c r="I4" s="4">
        <f t="shared" ref="I4:I8" ca="1" si="2">IF(H4&lt;&gt;F4,IF((C4-(H4/D4))*E4&lt;($O$2-SUM(INDIRECT(ADDRESS(1,COLUMN())&amp;":"&amp;ADDRESS(ROW()-1,COLUMN())))),(C4-(H4/D4))*E4,($O$2-SUM(INDIRECT(ADDRESS(1,COLUMN())&amp;":"&amp;ADDRESS(ROW()-1,COLUMN()))))),0)</f>
        <v>0</v>
      </c>
      <c r="J4" s="4">
        <f t="shared" ref="J4:J8" ca="1" si="3">ROUNDUP(IF((H4/D4)+(I4/E4)&gt;=C4,0,(C4-(H4/D4)-(I4/E4))*D4),-2)</f>
        <v>0</v>
      </c>
      <c r="K4" s="4">
        <f t="shared" ref="K4:K8" ca="1" si="4">ROUNDUP(IF((H4/D4)+(I4/E4)&gt;=C4,0,(C4-(H4/D4)-(I4/E4))*E4),-2)</f>
        <v>0</v>
      </c>
    </row>
    <row r="5" spans="1:17" x14ac:dyDescent="0.25">
      <c r="A5" t="s">
        <v>11</v>
      </c>
      <c r="B5">
        <v>3</v>
      </c>
      <c r="C5" s="4">
        <v>3611111.11</v>
      </c>
      <c r="D5">
        <v>4.4999999999999998E-2</v>
      </c>
      <c r="E5">
        <v>0.02</v>
      </c>
      <c r="F5" s="4">
        <f t="shared" si="0"/>
        <v>162500</v>
      </c>
      <c r="G5" s="4">
        <f>C5*E5</f>
        <v>72222.222200000004</v>
      </c>
      <c r="H5" s="4">
        <f t="shared" ca="1" si="1"/>
        <v>50000</v>
      </c>
      <c r="I5" s="4">
        <f t="shared" ca="1" si="2"/>
        <v>49999.99997777777</v>
      </c>
      <c r="J5" s="4">
        <f t="shared" ca="1" si="3"/>
        <v>0</v>
      </c>
      <c r="K5" s="4">
        <f t="shared" ca="1" si="4"/>
        <v>0</v>
      </c>
      <c r="M5" t="s">
        <v>12</v>
      </c>
      <c r="N5" s="4">
        <v>250000</v>
      </c>
      <c r="O5" s="4">
        <v>250000</v>
      </c>
    </row>
    <row r="6" spans="1:17" x14ac:dyDescent="0.25">
      <c r="A6" t="s">
        <v>11</v>
      </c>
      <c r="B6">
        <v>4</v>
      </c>
      <c r="C6" s="4">
        <v>5000000</v>
      </c>
      <c r="D6">
        <v>4.4999999999999998E-2</v>
      </c>
      <c r="E6">
        <v>0.02</v>
      </c>
      <c r="F6" s="4">
        <f t="shared" si="0"/>
        <v>225000</v>
      </c>
      <c r="G6" s="4">
        <f>C6*E6</f>
        <v>100000</v>
      </c>
      <c r="H6" s="4">
        <f t="shared" ca="1" si="1"/>
        <v>0</v>
      </c>
      <c r="I6" s="4">
        <f t="shared" ca="1" si="2"/>
        <v>100000</v>
      </c>
      <c r="J6" s="4">
        <f t="shared" ca="1" si="3"/>
        <v>0</v>
      </c>
      <c r="K6" s="4">
        <f t="shared" ca="1" si="4"/>
        <v>0</v>
      </c>
      <c r="M6" t="s">
        <v>13</v>
      </c>
      <c r="N6" s="4">
        <v>0</v>
      </c>
      <c r="O6" s="4">
        <v>0</v>
      </c>
      <c r="P6">
        <v>1</v>
      </c>
    </row>
    <row r="7" spans="1:17" x14ac:dyDescent="0.25">
      <c r="A7" t="s">
        <v>11</v>
      </c>
      <c r="B7">
        <v>5</v>
      </c>
      <c r="C7" s="4">
        <v>5000000</v>
      </c>
      <c r="D7">
        <v>4.4999999999999998E-2</v>
      </c>
      <c r="E7">
        <v>0.02</v>
      </c>
      <c r="F7" s="4">
        <f t="shared" si="0"/>
        <v>225000</v>
      </c>
      <c r="G7" s="4">
        <f>C7*E7</f>
        <v>100000</v>
      </c>
      <c r="H7" s="4">
        <f t="shared" ca="1" si="1"/>
        <v>0</v>
      </c>
      <c r="I7" s="4">
        <f t="shared" ca="1" si="2"/>
        <v>100000</v>
      </c>
      <c r="J7" s="4">
        <f t="shared" ca="1" si="3"/>
        <v>0</v>
      </c>
      <c r="K7" s="4">
        <f t="shared" ca="1" si="4"/>
        <v>0</v>
      </c>
      <c r="N7" s="4">
        <v>225000</v>
      </c>
      <c r="O7" s="4">
        <v>0</v>
      </c>
      <c r="P7">
        <v>2</v>
      </c>
    </row>
    <row r="8" spans="1:17" x14ac:dyDescent="0.25">
      <c r="A8" s="1" t="s">
        <v>11</v>
      </c>
      <c r="B8" s="1">
        <v>6</v>
      </c>
      <c r="C8" s="6">
        <v>5000000</v>
      </c>
      <c r="D8" s="1">
        <v>4.4999999999999998E-2</v>
      </c>
      <c r="E8" s="1">
        <v>0.02</v>
      </c>
      <c r="F8" s="4">
        <f t="shared" si="0"/>
        <v>225000</v>
      </c>
      <c r="G8" s="6">
        <f>C8*E8</f>
        <v>100000</v>
      </c>
      <c r="H8" s="4">
        <f t="shared" ca="1" si="1"/>
        <v>0</v>
      </c>
      <c r="I8" s="4">
        <f t="shared" ca="1" si="2"/>
        <v>2.2222229745239019E-5</v>
      </c>
      <c r="J8" s="5">
        <f t="shared" ca="1" si="3"/>
        <v>225000</v>
      </c>
      <c r="K8" s="5">
        <f t="shared" ca="1" si="4"/>
        <v>100000</v>
      </c>
      <c r="N8" s="4">
        <v>0</v>
      </c>
      <c r="O8" s="4">
        <v>100000</v>
      </c>
      <c r="P8">
        <v>3</v>
      </c>
    </row>
  </sheetData>
  <sortState xmlns:xlrd2="http://schemas.microsoft.com/office/spreadsheetml/2017/richdata2" ref="A3:K8">
    <sortCondition ref="D3:D8"/>
    <sortCondition ref="E3:E8"/>
    <sortCondition ref="B3:B8"/>
  </sortState>
  <mergeCells count="1"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C640-6122-4954-A22E-E7E28EED019F}">
  <dimension ref="A1:Q12"/>
  <sheetViews>
    <sheetView workbookViewId="0"/>
  </sheetViews>
  <sheetFormatPr defaultRowHeight="15" x14ac:dyDescent="0.25"/>
  <cols>
    <col min="1" max="1" width="8.5703125" bestFit="1" customWidth="1"/>
    <col min="2" max="2" width="2.85546875" bestFit="1" customWidth="1"/>
    <col min="3" max="3" width="10.5703125" style="7" bestFit="1" customWidth="1"/>
    <col min="4" max="5" width="6" bestFit="1" customWidth="1"/>
    <col min="6" max="7" width="9" style="7" bestFit="1" customWidth="1"/>
    <col min="8" max="8" width="10.7109375" style="7" bestFit="1" customWidth="1"/>
    <col min="9" max="9" width="10.85546875" style="7" bestFit="1" customWidth="1"/>
    <col min="10" max="10" width="12.42578125" style="7" bestFit="1" customWidth="1"/>
    <col min="11" max="11" width="12.5703125" style="7" bestFit="1" customWidth="1"/>
    <col min="13" max="13" width="9" bestFit="1" customWidth="1"/>
    <col min="14" max="15" width="9" style="7" bestFit="1" customWidth="1"/>
    <col min="16" max="16" width="8.7109375" bestFit="1" customWidth="1"/>
  </cols>
  <sheetData>
    <row r="1" spans="1:17" x14ac:dyDescent="0.25">
      <c r="J1" s="2" t="s">
        <v>20</v>
      </c>
      <c r="K1" s="2"/>
      <c r="N1" s="7" t="s">
        <v>9</v>
      </c>
      <c r="O1" s="7" t="s">
        <v>10</v>
      </c>
      <c r="P1" t="s">
        <v>22</v>
      </c>
    </row>
    <row r="2" spans="1:17" x14ac:dyDescent="0.25">
      <c r="A2" t="s">
        <v>0</v>
      </c>
      <c r="B2" t="s">
        <v>15</v>
      </c>
      <c r="C2" s="7" t="s">
        <v>1</v>
      </c>
      <c r="D2" t="s">
        <v>2</v>
      </c>
      <c r="E2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18</v>
      </c>
      <c r="K2" s="7" t="s">
        <v>19</v>
      </c>
      <c r="M2" t="s">
        <v>8</v>
      </c>
      <c r="N2" s="7">
        <f>N$5+SUMIF($P6:$P15,$P2,N6:N15)</f>
        <v>250000</v>
      </c>
      <c r="O2" s="7">
        <f>O$5+SUMIF($P6:$P15,$P2,O6:O15)</f>
        <v>250000</v>
      </c>
      <c r="P2">
        <v>1</v>
      </c>
      <c r="Q2" t="s">
        <v>24</v>
      </c>
    </row>
    <row r="3" spans="1:17" x14ac:dyDescent="0.25">
      <c r="A3" t="s">
        <v>11</v>
      </c>
      <c r="B3">
        <v>1</v>
      </c>
      <c r="C3" s="7">
        <v>5000000</v>
      </c>
      <c r="D3">
        <v>0.02</v>
      </c>
      <c r="E3">
        <v>0.02</v>
      </c>
      <c r="F3" s="7">
        <f>C3*D3</f>
        <v>100000</v>
      </c>
      <c r="G3" s="7">
        <f>C3*E3</f>
        <v>100000</v>
      </c>
      <c r="H3" s="7">
        <f ca="1">(IF(F3&lt;($N$2-SUM(INDIRECT(ADDRESS(1,COLUMN())&amp;":"&amp;ADDRESS(ROW()-1,COLUMN())))),F3,($N$2-SUM(INDIRECT(ADDRESS(1,COLUMN())&amp;":"&amp;ADDRESS(ROW()-1,COLUMN()))))))</f>
        <v>100000</v>
      </c>
      <c r="I3" s="7">
        <f ca="1">IF(H3&lt;&gt;F3,IF((C3-(H3/D3))*E3&lt;($O$2-SUM(INDIRECT(ADDRESS(1,COLUMN())&amp;":"&amp;ADDRESS(ROW()-1,COLUMN())))),(C3-(H3/D3))*E3,($O$2-SUM(INDIRECT(ADDRESS(1,COLUMN())&amp;":"&amp;ADDRESS(ROW()-1,COLUMN()))))),0)</f>
        <v>0</v>
      </c>
      <c r="J3" s="7">
        <f ca="1">ROUNDUP(IF((H3/D3)+(I3/E3)&gt;=C3,0,(C3-(H3/D3)-(I3/E3))*D3),-2)</f>
        <v>0</v>
      </c>
      <c r="K3" s="7">
        <f ca="1">ROUNDUP(IF((H3/D3)+(I3/E3)&gt;=C3,0,(C3-(H3/D3)-(I3/E3))*E3),-2)</f>
        <v>0</v>
      </c>
      <c r="M3" t="s">
        <v>14</v>
      </c>
      <c r="N3" s="7">
        <f ca="1">N2-SUM(H:H)</f>
        <v>0</v>
      </c>
      <c r="O3" s="7">
        <f ca="1">O2-SUM(I:I)</f>
        <v>0</v>
      </c>
    </row>
    <row r="4" spans="1:17" x14ac:dyDescent="0.25">
      <c r="A4" t="s">
        <v>11</v>
      </c>
      <c r="B4">
        <v>2</v>
      </c>
      <c r="C4" s="7">
        <v>2222222.2200000002</v>
      </c>
      <c r="D4">
        <v>4.4999999999999998E-2</v>
      </c>
      <c r="E4">
        <v>0.02</v>
      </c>
      <c r="F4" s="7">
        <f>C4*D4</f>
        <v>99999.99990000001</v>
      </c>
      <c r="G4" s="7">
        <f>C4*E4</f>
        <v>44444.444400000008</v>
      </c>
      <c r="H4" s="7">
        <f t="shared" ref="H4:H8" ca="1" si="0">(IF(F4&lt;($N$2-SUM(INDIRECT(ADDRESS(1,COLUMN())&amp;":"&amp;ADDRESS(ROW()-1,COLUMN())))),F4,($N$2-SUM(INDIRECT(ADDRESS(1,COLUMN())&amp;":"&amp;ADDRESS(ROW()-1,COLUMN()))))))</f>
        <v>99999.99990000001</v>
      </c>
      <c r="I4" s="7">
        <f t="shared" ref="I4:I8" ca="1" si="1">IF(H4&lt;&gt;F4,IF((C4-(H4/D4))*E4&lt;($O$2-SUM(INDIRECT(ADDRESS(1,COLUMN())&amp;":"&amp;ADDRESS(ROW()-1,COLUMN())))),(C4-(H4/D4))*E4,($O$2-SUM(INDIRECT(ADDRESS(1,COLUMN())&amp;":"&amp;ADDRESS(ROW()-1,COLUMN()))))),0)</f>
        <v>0</v>
      </c>
      <c r="J4" s="7">
        <f t="shared" ref="J4:J8" ca="1" si="2">ROUNDUP(IF((H4/D4)+(I4/E4)&gt;=C4,0,(C4-(H4/D4)-(I4/E4))*D4),-2)</f>
        <v>0</v>
      </c>
      <c r="K4" s="7">
        <f t="shared" ref="K4:K8" ca="1" si="3">ROUNDUP(IF((H4/D4)+(I4/E4)&gt;=C4,0,(C4-(H4/D4)-(I4/E4))*E4),-2)</f>
        <v>0</v>
      </c>
    </row>
    <row r="5" spans="1:17" x14ac:dyDescent="0.25">
      <c r="A5" t="s">
        <v>11</v>
      </c>
      <c r="B5">
        <v>3</v>
      </c>
      <c r="C5" s="7">
        <v>3611111.11</v>
      </c>
      <c r="D5">
        <v>4.4999999999999998E-2</v>
      </c>
      <c r="E5">
        <v>0.02</v>
      </c>
      <c r="F5" s="7">
        <f>C5*D5</f>
        <v>162499.99995</v>
      </c>
      <c r="G5" s="7">
        <f>C5*E5</f>
        <v>72222.222200000004</v>
      </c>
      <c r="H5" s="7">
        <f t="shared" ca="1" si="0"/>
        <v>50000.000100000005</v>
      </c>
      <c r="I5" s="7">
        <f t="shared" ca="1" si="1"/>
        <v>49999.999933333325</v>
      </c>
      <c r="J5" s="7">
        <f t="shared" ca="1" si="2"/>
        <v>0</v>
      </c>
      <c r="K5" s="7">
        <f t="shared" ca="1" si="3"/>
        <v>0</v>
      </c>
      <c r="M5" t="s">
        <v>12</v>
      </c>
      <c r="N5" s="7">
        <v>250000</v>
      </c>
      <c r="O5" s="7">
        <v>250000</v>
      </c>
    </row>
    <row r="6" spans="1:17" x14ac:dyDescent="0.25">
      <c r="A6" s="1" t="s">
        <v>11</v>
      </c>
      <c r="B6" s="1">
        <v>6</v>
      </c>
      <c r="C6" s="9">
        <v>5000000</v>
      </c>
      <c r="D6" s="1">
        <v>4.4999999999999998E-2</v>
      </c>
      <c r="E6" s="1">
        <v>1.4999999999999999E-2</v>
      </c>
      <c r="F6" s="9">
        <f>C6*D6</f>
        <v>225000</v>
      </c>
      <c r="G6" s="9">
        <f>C6*E6</f>
        <v>75000</v>
      </c>
      <c r="H6" s="7">
        <f t="shared" ca="1" si="0"/>
        <v>0</v>
      </c>
      <c r="I6" s="7">
        <f t="shared" ca="1" si="1"/>
        <v>75000</v>
      </c>
      <c r="J6" s="7">
        <f t="shared" ca="1" si="2"/>
        <v>0</v>
      </c>
      <c r="K6" s="7">
        <f t="shared" ca="1" si="3"/>
        <v>0</v>
      </c>
      <c r="M6" t="s">
        <v>13</v>
      </c>
      <c r="N6" s="7">
        <v>0</v>
      </c>
      <c r="O6" s="7">
        <v>0</v>
      </c>
      <c r="P6">
        <v>1</v>
      </c>
    </row>
    <row r="7" spans="1:17" x14ac:dyDescent="0.25">
      <c r="A7" t="s">
        <v>11</v>
      </c>
      <c r="B7">
        <v>4</v>
      </c>
      <c r="C7" s="7">
        <v>5000000</v>
      </c>
      <c r="D7">
        <v>4.4999999999999998E-2</v>
      </c>
      <c r="E7">
        <v>0.02</v>
      </c>
      <c r="F7" s="7">
        <f>C7*D7</f>
        <v>225000</v>
      </c>
      <c r="G7" s="7">
        <f>C7*E7</f>
        <v>100000</v>
      </c>
      <c r="H7" s="7">
        <f t="shared" ca="1" si="0"/>
        <v>0</v>
      </c>
      <c r="I7" s="7">
        <f t="shared" ca="1" si="1"/>
        <v>100000</v>
      </c>
      <c r="J7" s="7">
        <f t="shared" ca="1" si="2"/>
        <v>0</v>
      </c>
      <c r="K7" s="7">
        <f t="shared" ca="1" si="3"/>
        <v>0</v>
      </c>
      <c r="N7" s="7">
        <v>168800</v>
      </c>
      <c r="O7" s="7">
        <v>0</v>
      </c>
      <c r="P7">
        <v>2</v>
      </c>
    </row>
    <row r="8" spans="1:17" x14ac:dyDescent="0.25">
      <c r="A8" t="s">
        <v>11</v>
      </c>
      <c r="B8">
        <v>5</v>
      </c>
      <c r="C8" s="7">
        <v>5000000</v>
      </c>
      <c r="D8">
        <v>4.4999999999999998E-2</v>
      </c>
      <c r="E8">
        <v>0.02</v>
      </c>
      <c r="F8" s="7">
        <f>C8*D8</f>
        <v>225000</v>
      </c>
      <c r="G8" s="7">
        <f>C8*E8</f>
        <v>100000</v>
      </c>
      <c r="H8" s="7">
        <f t="shared" ca="1" si="0"/>
        <v>0</v>
      </c>
      <c r="I8" s="7">
        <f t="shared" ca="1" si="1"/>
        <v>25000.000066666689</v>
      </c>
      <c r="J8" s="8">
        <f t="shared" ca="1" si="2"/>
        <v>168800</v>
      </c>
      <c r="K8" s="8">
        <f t="shared" ca="1" si="3"/>
        <v>75000</v>
      </c>
      <c r="M8">
        <v>14100</v>
      </c>
      <c r="N8" s="7">
        <f>N7+M8</f>
        <v>182900</v>
      </c>
      <c r="O8" s="7">
        <v>0</v>
      </c>
      <c r="P8">
        <v>3</v>
      </c>
    </row>
    <row r="9" spans="1:17" x14ac:dyDescent="0.25">
      <c r="M9">
        <v>3500</v>
      </c>
      <c r="N9" s="7">
        <f>N8+M9</f>
        <v>186400</v>
      </c>
      <c r="O9" s="7">
        <v>0</v>
      </c>
      <c r="P9">
        <v>4</v>
      </c>
    </row>
    <row r="10" spans="1:17" x14ac:dyDescent="0.25">
      <c r="M10">
        <v>900</v>
      </c>
      <c r="N10" s="7">
        <f>N9+M10</f>
        <v>187300</v>
      </c>
      <c r="O10" s="7">
        <v>0</v>
      </c>
      <c r="P10">
        <v>5</v>
      </c>
    </row>
    <row r="11" spans="1:17" x14ac:dyDescent="0.25">
      <c r="M11">
        <v>200</v>
      </c>
      <c r="N11" s="7">
        <f>N10+M11</f>
        <v>187500</v>
      </c>
      <c r="O11" s="7">
        <v>0</v>
      </c>
      <c r="P11">
        <v>6</v>
      </c>
    </row>
    <row r="12" spans="1:17" x14ac:dyDescent="0.25">
      <c r="N12" s="7">
        <v>0</v>
      </c>
      <c r="O12" s="7">
        <v>75000</v>
      </c>
      <c r="P12">
        <v>7</v>
      </c>
    </row>
  </sheetData>
  <sortState xmlns:xlrd2="http://schemas.microsoft.com/office/spreadsheetml/2017/richdata2" ref="A3:K8">
    <sortCondition ref="D3:D8"/>
    <sortCondition ref="E3:E8"/>
    <sortCondition ref="B3:B8"/>
  </sortState>
  <mergeCells count="1">
    <mergeCell ref="J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5061-A9C7-4AB3-95B4-7DBEDB1363A3}">
  <dimension ref="A1:Q8"/>
  <sheetViews>
    <sheetView workbookViewId="0"/>
  </sheetViews>
  <sheetFormatPr defaultRowHeight="15" x14ac:dyDescent="0.25"/>
  <cols>
    <col min="1" max="1" width="8.5703125" bestFit="1" customWidth="1"/>
    <col min="2" max="2" width="2.85546875" bestFit="1" customWidth="1"/>
    <col min="3" max="3" width="10.5703125" style="7" bestFit="1" customWidth="1"/>
    <col min="4" max="5" width="6" bestFit="1" customWidth="1"/>
    <col min="6" max="7" width="9" style="7" bestFit="1" customWidth="1"/>
    <col min="8" max="8" width="10.7109375" style="7" bestFit="1" customWidth="1"/>
    <col min="9" max="9" width="10.85546875" style="7" bestFit="1" customWidth="1"/>
    <col min="10" max="10" width="12.42578125" style="7" bestFit="1" customWidth="1"/>
    <col min="11" max="11" width="12.5703125" style="7" bestFit="1" customWidth="1"/>
    <col min="13" max="13" width="9" bestFit="1" customWidth="1"/>
    <col min="14" max="15" width="9" style="7" bestFit="1" customWidth="1"/>
    <col min="16" max="16" width="8.7109375" bestFit="1" customWidth="1"/>
  </cols>
  <sheetData>
    <row r="1" spans="1:17" x14ac:dyDescent="0.25">
      <c r="J1" s="2" t="s">
        <v>20</v>
      </c>
      <c r="K1" s="2"/>
      <c r="N1" s="7" t="s">
        <v>9</v>
      </c>
      <c r="O1" s="7" t="s">
        <v>10</v>
      </c>
      <c r="P1" t="s">
        <v>22</v>
      </c>
    </row>
    <row r="2" spans="1:17" x14ac:dyDescent="0.25">
      <c r="A2" t="s">
        <v>0</v>
      </c>
      <c r="B2" t="s">
        <v>15</v>
      </c>
      <c r="C2" s="7" t="s">
        <v>1</v>
      </c>
      <c r="D2" t="s">
        <v>2</v>
      </c>
      <c r="E2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18</v>
      </c>
      <c r="K2" s="7" t="s">
        <v>19</v>
      </c>
      <c r="M2" t="s">
        <v>8</v>
      </c>
      <c r="N2" s="7">
        <f>N$5+SUMIF($P6:$P15,$P2,N6:N15)</f>
        <v>250000</v>
      </c>
      <c r="O2" s="7">
        <f>O$5+SUMIF($P6:$P15,$P2,O6:O15)</f>
        <v>250000</v>
      </c>
      <c r="P2">
        <v>1</v>
      </c>
      <c r="Q2" t="s">
        <v>24</v>
      </c>
    </row>
    <row r="3" spans="1:17" x14ac:dyDescent="0.25">
      <c r="A3" s="3" t="s">
        <v>11</v>
      </c>
      <c r="B3" s="3">
        <v>1</v>
      </c>
      <c r="C3" s="10">
        <v>5000000</v>
      </c>
      <c r="D3" s="3">
        <v>0.02</v>
      </c>
      <c r="E3" s="3">
        <v>0.02</v>
      </c>
      <c r="F3" s="10">
        <f>C3*D3</f>
        <v>100000</v>
      </c>
      <c r="G3" s="10">
        <f>C3*E3</f>
        <v>100000</v>
      </c>
      <c r="H3" s="10">
        <v>100000</v>
      </c>
      <c r="I3" s="10">
        <v>0</v>
      </c>
      <c r="J3" s="10">
        <f>IF((H3/D3)+(I3/E3)&gt;=C3,0,(C3-(H3/D3)-(I3/E3))*D3)</f>
        <v>0</v>
      </c>
      <c r="K3" s="10">
        <f>IF((H3/D3)+(I3/E3)&gt;=C3,0,(C3-(H3/D3)-(I3/E3))*E3)</f>
        <v>0</v>
      </c>
      <c r="M3" t="s">
        <v>14</v>
      </c>
      <c r="N3" s="7">
        <f ca="1">N2-SUM(H:H)</f>
        <v>0</v>
      </c>
      <c r="O3" s="7">
        <f ca="1">O2-SUM(I:I)</f>
        <v>0</v>
      </c>
    </row>
    <row r="4" spans="1:17" x14ac:dyDescent="0.25">
      <c r="A4" s="3" t="s">
        <v>11</v>
      </c>
      <c r="B4" s="3">
        <v>2</v>
      </c>
      <c r="C4" s="10">
        <v>2222222.2200000002</v>
      </c>
      <c r="D4" s="3">
        <v>4.4999999999999998E-2</v>
      </c>
      <c r="E4" s="3">
        <v>0.02</v>
      </c>
      <c r="F4" s="10">
        <f>C4*D4</f>
        <v>99999.99990000001</v>
      </c>
      <c r="G4" s="10">
        <f>C4*E4</f>
        <v>44444.444400000008</v>
      </c>
      <c r="H4" s="10">
        <v>100000</v>
      </c>
      <c r="I4" s="10">
        <v>0</v>
      </c>
      <c r="J4" s="10">
        <f>IF((H4/D4)+(I4/E4)&gt;=C4,0,(C4-(H4/D4)-(I4/E4))*D4)</f>
        <v>0</v>
      </c>
      <c r="K4" s="10">
        <f>IF((H4/D4)+(I4/E4)&gt;=C4,0,(C4-(H4/D4)-(I4/E4))*E4)</f>
        <v>0</v>
      </c>
    </row>
    <row r="5" spans="1:17" x14ac:dyDescent="0.25">
      <c r="A5" s="1" t="s">
        <v>11</v>
      </c>
      <c r="B5" s="1">
        <v>6</v>
      </c>
      <c r="C5" s="9">
        <v>5000000</v>
      </c>
      <c r="D5" s="1">
        <v>4.4999999999999998E-2</v>
      </c>
      <c r="E5" s="1">
        <v>1.4999999999999999E-2</v>
      </c>
      <c r="F5" s="9">
        <f>C5*D5</f>
        <v>225000</v>
      </c>
      <c r="G5" s="9">
        <f>C5*E5</f>
        <v>75000</v>
      </c>
      <c r="H5" s="7">
        <v>0</v>
      </c>
      <c r="I5" s="7">
        <f t="shared" ref="I5" ca="1" si="0">IF(H5&lt;&gt;F5,IF((C5-(H5/D5))*E5&lt;($O$2-SUM(INDIRECT(ADDRESS(1,COLUMN())&amp;":"&amp;ADDRESS(ROW()-1,COLUMN())))),(C5-(H5/D5))*E5,($O$2-SUM(INDIRECT(ADDRESS(1,COLUMN())&amp;":"&amp;ADDRESS(ROW()-1,COLUMN()))))),0)</f>
        <v>75000</v>
      </c>
      <c r="J5" s="7">
        <f t="shared" ref="J5" ca="1" si="1">ROUNDUP(IF((H5/D5)+(I5/E5)&gt;=C5,0,(C5-(H5/D5)-(I5/E5))*D5),-2)</f>
        <v>0</v>
      </c>
      <c r="K5" s="7">
        <f t="shared" ref="K5" ca="1" si="2">ROUNDUP(IF((H5/D5)+(I5/E5)&gt;=C5,0,(C5-(H5/D5)-(I5/E5))*E5),-2)</f>
        <v>0</v>
      </c>
      <c r="M5" t="s">
        <v>12</v>
      </c>
      <c r="N5" s="7">
        <v>250000</v>
      </c>
      <c r="O5" s="7">
        <v>250000</v>
      </c>
    </row>
    <row r="6" spans="1:17" x14ac:dyDescent="0.25">
      <c r="A6" t="s">
        <v>11</v>
      </c>
      <c r="B6">
        <v>3</v>
      </c>
      <c r="C6" s="7">
        <v>3611111.11</v>
      </c>
      <c r="D6">
        <v>4.4999999999999998E-2</v>
      </c>
      <c r="E6">
        <v>0.02</v>
      </c>
      <c r="F6" s="7">
        <f>C6*D6</f>
        <v>162499.99995</v>
      </c>
      <c r="G6" s="7">
        <f>C6*E6</f>
        <v>72222.222200000004</v>
      </c>
      <c r="H6" s="10">
        <v>50000</v>
      </c>
      <c r="I6" s="7">
        <f t="shared" ref="I6:I8" ca="1" si="3">IF(H6&lt;&gt;F6,IF((C6-(H6/D6))*E6&lt;($O$2-SUM(INDIRECT(ADDRESS(1,COLUMN())&amp;":"&amp;ADDRESS(ROW()-1,COLUMN())))),(C6-(H6/D6))*E6,($O$2-SUM(INDIRECT(ADDRESS(1,COLUMN())&amp;":"&amp;ADDRESS(ROW()-1,COLUMN()))))),0)</f>
        <v>49999.99997777777</v>
      </c>
      <c r="J6" s="7">
        <f t="shared" ref="J6:J8" ca="1" si="4">ROUNDUP(IF((H6/D6)+(I6/E6)&gt;=C6,0,(C6-(H6/D6)-(I6/E6))*D6),-2)</f>
        <v>0</v>
      </c>
      <c r="K6" s="7">
        <f t="shared" ref="K6:K8" ca="1" si="5">ROUNDUP(IF((H6/D6)+(I6/E6)&gt;=C6,0,(C6-(H6/D6)-(I6/E6))*E6),-2)</f>
        <v>0</v>
      </c>
      <c r="M6" t="s">
        <v>13</v>
      </c>
      <c r="N6" s="7">
        <v>0</v>
      </c>
      <c r="O6" s="7">
        <v>0</v>
      </c>
      <c r="P6">
        <v>1</v>
      </c>
    </row>
    <row r="7" spans="1:17" x14ac:dyDescent="0.25">
      <c r="A7" t="s">
        <v>11</v>
      </c>
      <c r="B7">
        <v>4</v>
      </c>
      <c r="C7" s="7">
        <v>5000000</v>
      </c>
      <c r="D7">
        <v>4.4999999999999998E-2</v>
      </c>
      <c r="E7">
        <v>0.02</v>
      </c>
      <c r="F7" s="7">
        <f>C7*D7</f>
        <v>225000</v>
      </c>
      <c r="G7" s="7">
        <f>C7*E7</f>
        <v>100000</v>
      </c>
      <c r="H7" s="7">
        <f t="shared" ref="H7:H8" ca="1" si="6">(IF(F7&lt;($N$2-SUM(INDIRECT(ADDRESS(1,COLUMN())&amp;":"&amp;ADDRESS(ROW()-1,COLUMN())))),F7,($N$2-SUM(INDIRECT(ADDRESS(1,COLUMN())&amp;":"&amp;ADDRESS(ROW()-1,COLUMN()))))))</f>
        <v>0</v>
      </c>
      <c r="I7" s="7">
        <f t="shared" ca="1" si="3"/>
        <v>100000</v>
      </c>
      <c r="J7" s="7">
        <f t="shared" ca="1" si="4"/>
        <v>0</v>
      </c>
      <c r="K7" s="7">
        <f t="shared" ca="1" si="5"/>
        <v>0</v>
      </c>
      <c r="N7" s="7">
        <v>168800</v>
      </c>
      <c r="O7" s="7">
        <v>0</v>
      </c>
      <c r="P7">
        <v>2</v>
      </c>
    </row>
    <row r="8" spans="1:17" x14ac:dyDescent="0.25">
      <c r="A8" t="s">
        <v>11</v>
      </c>
      <c r="B8">
        <v>5</v>
      </c>
      <c r="C8" s="7">
        <v>5000000</v>
      </c>
      <c r="D8">
        <v>4.4999999999999998E-2</v>
      </c>
      <c r="E8">
        <v>0.02</v>
      </c>
      <c r="F8" s="7">
        <f>C8*D8</f>
        <v>225000</v>
      </c>
      <c r="G8" s="7">
        <f>C8*E8</f>
        <v>100000</v>
      </c>
      <c r="H8" s="7">
        <f t="shared" ca="1" si="6"/>
        <v>0</v>
      </c>
      <c r="I8" s="7">
        <f t="shared" ca="1" si="3"/>
        <v>25000.00002222223</v>
      </c>
      <c r="J8" s="8">
        <f t="shared" ca="1" si="4"/>
        <v>168800</v>
      </c>
      <c r="K8" s="8">
        <f t="shared" ca="1" si="5"/>
        <v>75000</v>
      </c>
      <c r="N8" s="7">
        <v>0</v>
      </c>
      <c r="O8" s="7">
        <v>75000</v>
      </c>
      <c r="P8">
        <v>3</v>
      </c>
    </row>
  </sheetData>
  <sortState xmlns:xlrd2="http://schemas.microsoft.com/office/spreadsheetml/2017/richdata2" ref="A3:K8">
    <sortCondition ref="E5:E8"/>
  </sortState>
  <mergeCells count="1"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4F26-95BF-467A-8CD5-393BC3CE2DB2}">
  <dimension ref="A1:Q9"/>
  <sheetViews>
    <sheetView workbookViewId="0"/>
  </sheetViews>
  <sheetFormatPr defaultRowHeight="15" x14ac:dyDescent="0.25"/>
  <cols>
    <col min="1" max="1" width="13.28515625" bestFit="1" customWidth="1"/>
    <col min="2" max="2" width="2.85546875" bestFit="1" customWidth="1"/>
    <col min="3" max="3" width="10.5703125" style="7" bestFit="1" customWidth="1"/>
    <col min="4" max="4" width="8.7109375" bestFit="1" customWidth="1"/>
    <col min="5" max="5" width="6.7109375" bestFit="1" customWidth="1"/>
    <col min="6" max="7" width="9" style="7" bestFit="1" customWidth="1"/>
    <col min="8" max="8" width="10.7109375" style="7" bestFit="1" customWidth="1"/>
    <col min="9" max="9" width="10.85546875" style="7" bestFit="1" customWidth="1"/>
    <col min="10" max="10" width="12.42578125" style="7" bestFit="1" customWidth="1"/>
    <col min="11" max="11" width="12.5703125" style="7" bestFit="1" customWidth="1"/>
    <col min="13" max="13" width="9" bestFit="1" customWidth="1"/>
    <col min="14" max="15" width="9" style="7" bestFit="1" customWidth="1"/>
  </cols>
  <sheetData>
    <row r="1" spans="1:17" x14ac:dyDescent="0.25">
      <c r="J1" s="2" t="s">
        <v>20</v>
      </c>
      <c r="K1" s="2"/>
      <c r="N1" s="7" t="s">
        <v>9</v>
      </c>
      <c r="O1" s="7" t="s">
        <v>10</v>
      </c>
      <c r="P1" t="s">
        <v>22</v>
      </c>
    </row>
    <row r="2" spans="1:17" x14ac:dyDescent="0.25">
      <c r="A2" t="s">
        <v>0</v>
      </c>
      <c r="B2" t="s">
        <v>15</v>
      </c>
      <c r="C2" s="7" t="s">
        <v>1</v>
      </c>
      <c r="D2" t="s">
        <v>2</v>
      </c>
      <c r="E2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18</v>
      </c>
      <c r="K2" s="7" t="s">
        <v>19</v>
      </c>
      <c r="M2" t="s">
        <v>8</v>
      </c>
      <c r="N2" s="7">
        <f>N$5+SUMIF($P6:$P15,$P2,N6:N15)</f>
        <v>250000</v>
      </c>
      <c r="O2" s="7">
        <f>O$5+SUMIF($P6:$P15,$P2,O6:O15)</f>
        <v>250000</v>
      </c>
      <c r="P2">
        <v>1</v>
      </c>
      <c r="Q2" t="s">
        <v>24</v>
      </c>
    </row>
    <row r="3" spans="1:17" x14ac:dyDescent="0.25">
      <c r="A3" t="s">
        <v>11</v>
      </c>
      <c r="B3">
        <v>1</v>
      </c>
      <c r="C3" s="7">
        <v>5000000</v>
      </c>
      <c r="D3">
        <v>0.02</v>
      </c>
      <c r="E3">
        <v>0.02</v>
      </c>
      <c r="F3" s="7">
        <f>C3*D3</f>
        <v>100000</v>
      </c>
      <c r="G3" s="7">
        <f>C3*E3</f>
        <v>100000</v>
      </c>
      <c r="H3" s="7">
        <f ca="1">ROUND(IF(F3&lt;($N$2-SUM(INDIRECT(ADDRESS(1,COLUMN())&amp;":"&amp;ADDRESS(ROW()-1,COLUMN())))),F3, ($N$2-SUM(INDIRECT(ADDRESS(1,COLUMN())&amp;":"&amp;ADDRESS(ROW()-1,COLUMN()))))),4)</f>
        <v>100000</v>
      </c>
      <c r="I3" s="7">
        <f ca="1">ROUND(IF(H3&lt;&gt;F3,IF((C3-(H3/D3))*E3&lt;($O$2-SUM(INDIRECT(ADDRESS(1,COLUMN())&amp;":"&amp;ADDRESS(ROW()-1,COLUMN())))),(C3-(H3/D3))*E3,($O$2-SUM(INDIRECT(ADDRESS(1,COLUMN())&amp;":"&amp;ADDRESS(ROW()-1,COLUMN()))))),0),4)</f>
        <v>0</v>
      </c>
      <c r="J3" s="7">
        <f t="shared" ref="J3" ca="1" si="0">ROUNDUP(IF((H3/D3)+(I3/E3)&gt;=C3,0,(C3-(H3/D3)-(I3/E3))*D3),-2)</f>
        <v>0</v>
      </c>
      <c r="K3" s="7">
        <f t="shared" ref="K3" ca="1" si="1">ROUNDUP(IF((H3/D3)+(I3/E3)&gt;=C3,0,(C3-(H3/D3)-(I3/E3))*E3),-2)</f>
        <v>0</v>
      </c>
      <c r="M3" t="s">
        <v>14</v>
      </c>
      <c r="N3" s="7">
        <f ca="1">N2-SUM(H:H)</f>
        <v>0</v>
      </c>
      <c r="O3" s="7">
        <f ca="1">O2-SUM(I:I)</f>
        <v>0</v>
      </c>
    </row>
    <row r="4" spans="1:17" x14ac:dyDescent="0.25">
      <c r="A4" s="13" t="s">
        <v>23</v>
      </c>
      <c r="B4" s="13">
        <v>6</v>
      </c>
      <c r="C4" s="14">
        <v>5000000</v>
      </c>
      <c r="D4" s="13">
        <v>0.03</v>
      </c>
      <c r="E4" s="13">
        <v>0.03</v>
      </c>
      <c r="F4" s="14">
        <f>C4*D4</f>
        <v>150000</v>
      </c>
      <c r="G4" s="14">
        <f>C4*E4</f>
        <v>150000</v>
      </c>
      <c r="H4" s="7">
        <f t="shared" ref="H4:H8" ca="1" si="2">ROUND(IF(F4&lt;($N$2-SUM(INDIRECT(ADDRESS(1,COLUMN())&amp;":"&amp;ADDRESS(ROW()-1,COLUMN())))),F4, ($N$2-SUM(INDIRECT(ADDRESS(1,COLUMN())&amp;":"&amp;ADDRESS(ROW()-1,COLUMN()))))),4)</f>
        <v>150000</v>
      </c>
      <c r="I4" s="7">
        <f t="shared" ref="I4:I8" ca="1" si="3">ROUND(IF(H4&lt;&gt;F4,IF((C4-(H4/D4))*E4&lt;($O$2-SUM(INDIRECT(ADDRESS(1,COLUMN())&amp;":"&amp;ADDRESS(ROW()-1,COLUMN())))),(C4-(H4/D4))*E4,($O$2-SUM(INDIRECT(ADDRESS(1,COLUMN())&amp;":"&amp;ADDRESS(ROW()-1,COLUMN()))))),0),4)</f>
        <v>0</v>
      </c>
      <c r="J4" s="7">
        <f t="shared" ref="J4:J8" ca="1" si="4">ROUNDUP(IF((H4/D4)+(I4/E4)&gt;=C4,0,(C4-(H4/D4)-(I4/E4))*D4),-2)</f>
        <v>0</v>
      </c>
      <c r="K4" s="7">
        <f t="shared" ref="K4:K8" ca="1" si="5">ROUNDUP(IF((H4/D4)+(I4/E4)&gt;=C4,0,(C4-(H4/D4)-(I4/E4))*E4),-2)</f>
        <v>0</v>
      </c>
    </row>
    <row r="5" spans="1:17" x14ac:dyDescent="0.25">
      <c r="A5" t="s">
        <v>11</v>
      </c>
      <c r="B5">
        <v>2</v>
      </c>
      <c r="C5" s="7">
        <v>2222222.2200000002</v>
      </c>
      <c r="D5">
        <v>4.4999999999999998E-2</v>
      </c>
      <c r="E5">
        <v>0.02</v>
      </c>
      <c r="F5" s="7">
        <f t="shared" ref="F5:F8" si="6">C5*D5</f>
        <v>99999.99990000001</v>
      </c>
      <c r="G5" s="7">
        <f t="shared" ref="G5:G8" si="7">C5*E5</f>
        <v>44444.444400000008</v>
      </c>
      <c r="H5" s="7">
        <f t="shared" ca="1" si="2"/>
        <v>0</v>
      </c>
      <c r="I5" s="7">
        <f t="shared" ca="1" si="3"/>
        <v>44444.4444</v>
      </c>
      <c r="J5" s="7">
        <f t="shared" ca="1" si="4"/>
        <v>0</v>
      </c>
      <c r="K5" s="7">
        <f t="shared" ca="1" si="5"/>
        <v>0</v>
      </c>
      <c r="M5" t="s">
        <v>12</v>
      </c>
      <c r="N5" s="7">
        <v>250000</v>
      </c>
      <c r="O5" s="7">
        <v>250000</v>
      </c>
    </row>
    <row r="6" spans="1:17" x14ac:dyDescent="0.25">
      <c r="A6" t="s">
        <v>11</v>
      </c>
      <c r="B6">
        <v>3</v>
      </c>
      <c r="C6" s="7">
        <v>3611111.11</v>
      </c>
      <c r="D6">
        <v>4.4999999999999998E-2</v>
      </c>
      <c r="E6">
        <v>0.02</v>
      </c>
      <c r="F6" s="7">
        <f t="shared" si="6"/>
        <v>162499.99995</v>
      </c>
      <c r="G6" s="7">
        <f t="shared" si="7"/>
        <v>72222.222200000004</v>
      </c>
      <c r="H6" s="7">
        <f t="shared" ca="1" si="2"/>
        <v>0</v>
      </c>
      <c r="I6" s="7">
        <f t="shared" ca="1" si="3"/>
        <v>72222.222200000004</v>
      </c>
      <c r="J6" s="7">
        <f t="shared" ca="1" si="4"/>
        <v>0</v>
      </c>
      <c r="K6" s="7">
        <f t="shared" ca="1" si="5"/>
        <v>0</v>
      </c>
      <c r="M6" t="s">
        <v>13</v>
      </c>
      <c r="N6" s="7">
        <v>0</v>
      </c>
      <c r="O6" s="7">
        <v>0</v>
      </c>
      <c r="P6">
        <v>1</v>
      </c>
    </row>
    <row r="7" spans="1:17" x14ac:dyDescent="0.25">
      <c r="A7" t="s">
        <v>11</v>
      </c>
      <c r="B7">
        <v>4</v>
      </c>
      <c r="C7" s="7">
        <v>5000000</v>
      </c>
      <c r="D7">
        <v>4.4999999999999998E-2</v>
      </c>
      <c r="E7">
        <v>0.02</v>
      </c>
      <c r="F7" s="7">
        <f t="shared" si="6"/>
        <v>225000</v>
      </c>
      <c r="G7" s="7">
        <f t="shared" si="7"/>
        <v>100000</v>
      </c>
      <c r="H7" s="7">
        <f t="shared" ca="1" si="2"/>
        <v>0</v>
      </c>
      <c r="I7" s="7">
        <f t="shared" ca="1" si="3"/>
        <v>100000</v>
      </c>
      <c r="J7" s="7">
        <f t="shared" ca="1" si="4"/>
        <v>0</v>
      </c>
      <c r="K7" s="7">
        <f t="shared" ca="1" si="5"/>
        <v>0</v>
      </c>
      <c r="N7" s="7">
        <v>150000</v>
      </c>
      <c r="O7" s="7">
        <v>0</v>
      </c>
      <c r="P7">
        <v>2</v>
      </c>
    </row>
    <row r="8" spans="1:17" x14ac:dyDescent="0.25">
      <c r="A8" t="s">
        <v>11</v>
      </c>
      <c r="B8">
        <v>5</v>
      </c>
      <c r="C8" s="7">
        <v>5000000</v>
      </c>
      <c r="D8">
        <v>4.4999999999999998E-2</v>
      </c>
      <c r="E8">
        <v>0.02</v>
      </c>
      <c r="F8" s="7">
        <f t="shared" si="6"/>
        <v>225000</v>
      </c>
      <c r="G8" s="7">
        <f t="shared" si="7"/>
        <v>100000</v>
      </c>
      <c r="H8" s="7">
        <f t="shared" ca="1" si="2"/>
        <v>0</v>
      </c>
      <c r="I8" s="7">
        <f t="shared" ca="1" si="3"/>
        <v>33333.333400000003</v>
      </c>
      <c r="J8" s="8">
        <f t="shared" ca="1" si="4"/>
        <v>150000</v>
      </c>
      <c r="K8" s="8">
        <f t="shared" ca="1" si="5"/>
        <v>66700</v>
      </c>
      <c r="N8" s="7">
        <v>0</v>
      </c>
      <c r="O8" s="7">
        <v>66700</v>
      </c>
      <c r="P8">
        <v>3</v>
      </c>
    </row>
    <row r="9" spans="1:17" x14ac:dyDescent="0.25">
      <c r="J9" s="11"/>
      <c r="K9" s="11"/>
    </row>
  </sheetData>
  <mergeCells count="1"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Position</vt:lpstr>
      <vt:lpstr>Opt-In B</vt:lpstr>
      <vt:lpstr>Non-Opt</vt:lpstr>
      <vt:lpstr>Opt-In A.1</vt:lpstr>
      <vt:lpstr>Opt-In A.2</vt:lpstr>
      <vt:lpstr>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Gentry, Dan</dc:creator>
  <cp:lastModifiedBy>Gentry, Dan</cp:lastModifiedBy>
  <dcterms:created xsi:type="dcterms:W3CDTF">2019-05-02T15:59:56Z</dcterms:created>
  <dcterms:modified xsi:type="dcterms:W3CDTF">2019-05-06T13:31:35Z</dcterms:modified>
</cp:coreProperties>
</file>